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E:\interview-2\excel\"/>
    </mc:Choice>
  </mc:AlternateContent>
  <xr:revisionPtr revIDLastSave="0" documentId="13_ncr:1_{13F7FE89-7E86-4E23-92E6-65CDE551005A}" xr6:coauthVersionLast="47" xr6:coauthVersionMax="47" xr10:uidLastSave="{00000000-0000-0000-0000-000000000000}"/>
  <bookViews>
    <workbookView xWindow="-110" yWindow="-110" windowWidth="19420" windowHeight="10300" xr2:uid="{4F6C4126-2870-407D-9664-99FEFA04C799}"/>
  </bookViews>
  <sheets>
    <sheet name="Dashboard" sheetId="6" r:id="rId1"/>
    <sheet name="Raw" sheetId="1" r:id="rId2"/>
    <sheet name="Lookup" sheetId="2" r:id="rId3"/>
    <sheet name="Clean" sheetId="3" r:id="rId4"/>
    <sheet name="pivot_table" sheetId="5" r:id="rId5"/>
    <sheet name="Summary" sheetId="4" r:id="rId6"/>
  </sheets>
  <definedNames>
    <definedName name="Slicer_channel">#N/A</definedName>
    <definedName name="Slicer_department_XLOOKUP">#N/A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6" l="1"/>
  <c r="E4" i="6"/>
  <c r="C4" i="6"/>
  <c r="A4" i="6"/>
  <c r="D2" i="4"/>
  <c r="B3" i="4"/>
  <c r="B4" i="4"/>
  <c r="B2" i="4"/>
  <c r="A18" i="3"/>
  <c r="H2" i="3"/>
  <c r="H3" i="3"/>
  <c r="H4" i="3"/>
  <c r="H5" i="3"/>
  <c r="H6" i="3"/>
  <c r="H7" i="3"/>
  <c r="H8" i="3"/>
  <c r="H9" i="3"/>
  <c r="H10" i="3"/>
  <c r="H11" i="3"/>
  <c r="H12" i="3"/>
  <c r="H13" i="3"/>
  <c r="G13" i="3"/>
  <c r="G12" i="3"/>
  <c r="G11" i="3"/>
  <c r="G10" i="3"/>
  <c r="G9" i="3"/>
  <c r="G8" i="3"/>
  <c r="G7" i="3"/>
  <c r="G6" i="3"/>
  <c r="G5" i="3"/>
  <c r="G4" i="3"/>
  <c r="G3" i="3"/>
  <c r="G2" i="3"/>
  <c r="A16" i="3"/>
  <c r="H2" i="1"/>
</calcChain>
</file>

<file path=xl/sharedStrings.xml><?xml version="1.0" encoding="utf-8"?>
<sst xmlns="http://schemas.openxmlformats.org/spreadsheetml/2006/main" count="134" uniqueCount="41">
  <si>
    <t>ticket_id</t>
  </si>
  <si>
    <t>month</t>
  </si>
  <si>
    <t>team_id</t>
  </si>
  <si>
    <t>channel</t>
  </si>
  <si>
    <t>resolution_hours</t>
  </si>
  <si>
    <t>satisfaction</t>
  </si>
  <si>
    <t>Jan</t>
  </si>
  <si>
    <t>Feb</t>
  </si>
  <si>
    <t>Mar</t>
  </si>
  <si>
    <t>T1</t>
  </si>
  <si>
    <t>T2</t>
  </si>
  <si>
    <t>T3</t>
  </si>
  <si>
    <t>T4</t>
  </si>
  <si>
    <t>Email</t>
  </si>
  <si>
    <t>Chat</t>
  </si>
  <si>
    <t>Phone</t>
  </si>
  <si>
    <t>team</t>
  </si>
  <si>
    <t>department</t>
  </si>
  <si>
    <t>AccountCare</t>
  </si>
  <si>
    <t>BillingHelp</t>
  </si>
  <si>
    <t>AppSupport</t>
  </si>
  <si>
    <t>DeviceHelp</t>
  </si>
  <si>
    <t>Service</t>
  </si>
  <si>
    <t>Technical</t>
  </si>
  <si>
    <t>Before Row Count</t>
  </si>
  <si>
    <t>After Row Count</t>
  </si>
  <si>
    <t>department(XLOOKUP)</t>
  </si>
  <si>
    <t>breach_flag</t>
  </si>
  <si>
    <t>Channel</t>
  </si>
  <si>
    <t>Breached Tickets</t>
  </si>
  <si>
    <t>SLA Breach Rate</t>
  </si>
  <si>
    <t>Row Labels</t>
  </si>
  <si>
    <t>Grand Total</t>
  </si>
  <si>
    <t>Column Labels</t>
  </si>
  <si>
    <t>Average of resolution_hours</t>
  </si>
  <si>
    <t>total tickets</t>
  </si>
  <si>
    <t>avg satisfactions</t>
  </si>
  <si>
    <t>SLA Breaches</t>
  </si>
  <si>
    <t>Breach Rate</t>
  </si>
  <si>
    <t>Sum of ticket_id</t>
  </si>
  <si>
    <t>Customer Support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</si>
</sst>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8"/>
      <name val="Calibri"/>
      <family val="2"/>
      <scheme val="minor"/>
    </font>
    <font>
      <sz val="10"/>
      <color theme="0"/>
      <name val="Courier New"/>
      <family val="3"/>
    </font>
    <font>
      <b/>
      <sz val="20"/>
      <color theme="0"/>
      <name val="Calibri"/>
      <family val="2"/>
      <scheme val="minor"/>
    </font>
    <font>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4"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3" fillId="0" borderId="0" xfId="0" applyFont="1"/>
    <xf numFmtId="1" fontId="0" fillId="0" borderId="0" xfId="0" applyNumberFormat="1"/>
    <xf numFmtId="2" fontId="3" fillId="0" borderId="0" xfId="0" applyNumberFormat="1" applyFont="1"/>
    <xf numFmtId="2" fontId="0" fillId="0" borderId="0" xfId="0" applyNumberFormat="1"/>
    <xf numFmtId="0" fontId="0" fillId="0" borderId="1" xfId="0" applyBorder="1"/>
    <xf numFmtId="0" fontId="0" fillId="3" borderId="1" xfId="0" applyFill="1" applyBorder="1"/>
    <xf numFmtId="10" fontId="0" fillId="0" borderId="1" xfId="1" applyNumberFormat="1"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5" borderId="0" xfId="0" applyFill="1"/>
    <xf numFmtId="0" fontId="0" fillId="2" borderId="0" xfId="0" applyFill="1"/>
    <xf numFmtId="0" fontId="5" fillId="0" borderId="13" xfId="0" applyFont="1" applyBorder="1"/>
    <xf numFmtId="0" fontId="5" fillId="0" borderId="14" xfId="0" applyFont="1" applyBorder="1"/>
    <xf numFmtId="0" fontId="5" fillId="0" borderId="15" xfId="0" applyFont="1" applyBorder="1"/>
    <xf numFmtId="0" fontId="0" fillId="0" borderId="11" xfId="0" applyBorder="1"/>
    <xf numFmtId="0" fontId="0" fillId="0" borderId="12" xfId="0" applyBorder="1"/>
    <xf numFmtId="0" fontId="0" fillId="0" borderId="16" xfId="0" applyBorder="1"/>
    <xf numFmtId="0" fontId="0" fillId="0" borderId="17" xfId="0" applyBorder="1"/>
    <xf numFmtId="0" fontId="0" fillId="0" borderId="18" xfId="0" applyBorder="1"/>
    <xf numFmtId="0" fontId="4" fillId="5" borderId="0" xfId="0" applyFont="1" applyFill="1" applyAlignment="1">
      <alignment horizontal="center"/>
    </xf>
    <xf numFmtId="0" fontId="6" fillId="3" borderId="1" xfId="0" applyFont="1" applyFill="1" applyBorder="1"/>
    <xf numFmtId="0" fontId="6" fillId="4" borderId="1" xfId="0" applyFont="1" applyFill="1" applyBorder="1"/>
    <xf numFmtId="2" fontId="6" fillId="4" borderId="1" xfId="0" applyNumberFormat="1" applyFont="1" applyFill="1" applyBorder="1"/>
  </cellXfs>
  <cellStyles count="2">
    <cellStyle name="Normal" xfId="0" builtinId="0"/>
    <cellStyle name="Percent" xfId="1" builtinId="5"/>
  </cellStyles>
  <dxfs count="14">
    <dxf>
      <numFmt numFmtId="0" formatCode="General"/>
    </dxf>
    <dxf>
      <numFmt numFmtId="0" formatCode="General"/>
    </dxf>
    <dxf>
      <numFmt numFmtId="2" formatCode="0.00"/>
    </dxf>
    <dxf>
      <numFmt numFmtId="2" formatCode="0.00"/>
    </dxf>
    <dxf>
      <font>
        <b val="0"/>
        <i val="0"/>
        <strike val="0"/>
        <condense val="0"/>
        <extend val="0"/>
        <outline val="0"/>
        <shadow val="0"/>
        <u val="none"/>
        <vertAlign val="baseline"/>
        <sz val="10"/>
        <color theme="1" tint="4.9989318521683403E-2"/>
        <name val="Courier New"/>
        <family val="3"/>
        <scheme val="none"/>
      </font>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dxf>
    <dxf>
      <border outline="0">
        <bottom style="thin">
          <color indexed="64"/>
        </bottom>
      </border>
    </dxf>
    <dxf>
      <font>
        <b val="0"/>
        <i val="0"/>
        <strike val="0"/>
        <condense val="0"/>
        <extend val="0"/>
        <outline val="0"/>
        <shadow val="0"/>
        <u val="none"/>
        <vertAlign val="baseline"/>
        <sz val="11"/>
        <color theme="0"/>
        <name val="Calibri"/>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0"/>
        <color theme="1" tint="4.9989318521683403E-2"/>
        <name val="Courier New"/>
        <family val="3"/>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[ticket_analysis.xlsx]pivot_table!PivotTable1</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Jan</c:v>
                </c:pt>
              </c:strCache>
            </c:strRef>
          </c:tx>
          <c:spPr>
            <a:solidFill>
              <a:schemeClr val="accent1"/>
            </a:solidFill>
            <a:ln>
              <a:noFill/>
            </a:ln>
            <a:effectLst/>
          </c:spPr>
          <c:invertIfNegative val="0"/>
          <c:cat>
            <c:strRef>
              <c:f>pivot_table!$A$5:$A$7</c:f>
              <c:strCache>
                <c:ptCount val="2"/>
                <c:pt idx="0">
                  <c:v>Service</c:v>
                </c:pt>
                <c:pt idx="1">
                  <c:v>Technical</c:v>
                </c:pt>
              </c:strCache>
            </c:strRef>
          </c:cat>
          <c:val>
            <c:numRef>
              <c:f>pivot_table!$B$5:$B$7</c:f>
              <c:numCache>
                <c:formatCode>General</c:formatCode>
                <c:ptCount val="2"/>
                <c:pt idx="0">
                  <c:v>20</c:v>
                </c:pt>
                <c:pt idx="1">
                  <c:v>28</c:v>
                </c:pt>
              </c:numCache>
            </c:numRef>
          </c:val>
          <c:extLst>
            <c:ext xmlns:c16="http://schemas.microsoft.com/office/drawing/2014/chart" uri="{C3380CC4-5D6E-409C-BE32-E72D297353CC}">
              <c16:uniqueId val="{00000000-588B-4B4B-A06F-23AC02BA2DA1}"/>
            </c:ext>
          </c:extLst>
        </c:ser>
        <c:ser>
          <c:idx val="1"/>
          <c:order val="1"/>
          <c:tx>
            <c:strRef>
              <c:f>pivot_table!$C$3:$C$4</c:f>
              <c:strCache>
                <c:ptCount val="1"/>
                <c:pt idx="0">
                  <c:v>Feb</c:v>
                </c:pt>
              </c:strCache>
            </c:strRef>
          </c:tx>
          <c:spPr>
            <a:solidFill>
              <a:schemeClr val="accent2"/>
            </a:solidFill>
            <a:ln>
              <a:noFill/>
            </a:ln>
            <a:effectLst/>
          </c:spPr>
          <c:invertIfNegative val="0"/>
          <c:cat>
            <c:strRef>
              <c:f>pivot_table!$A$5:$A$7</c:f>
              <c:strCache>
                <c:ptCount val="2"/>
                <c:pt idx="0">
                  <c:v>Service</c:v>
                </c:pt>
                <c:pt idx="1">
                  <c:v>Technical</c:v>
                </c:pt>
              </c:strCache>
            </c:strRef>
          </c:cat>
          <c:val>
            <c:numRef>
              <c:f>pivot_table!$C$5:$C$7</c:f>
              <c:numCache>
                <c:formatCode>General</c:formatCode>
                <c:ptCount val="2"/>
                <c:pt idx="0">
                  <c:v>19</c:v>
                </c:pt>
                <c:pt idx="1">
                  <c:v>29</c:v>
                </c:pt>
              </c:numCache>
            </c:numRef>
          </c:val>
          <c:extLst>
            <c:ext xmlns:c16="http://schemas.microsoft.com/office/drawing/2014/chart" uri="{C3380CC4-5D6E-409C-BE32-E72D297353CC}">
              <c16:uniqueId val="{0000000B-A93B-47E1-BC8D-C34527D0A976}"/>
            </c:ext>
          </c:extLst>
        </c:ser>
        <c:ser>
          <c:idx val="2"/>
          <c:order val="2"/>
          <c:tx>
            <c:strRef>
              <c:f>pivot_table!$D$3:$D$4</c:f>
              <c:strCache>
                <c:ptCount val="1"/>
                <c:pt idx="0">
                  <c:v>Mar</c:v>
                </c:pt>
              </c:strCache>
            </c:strRef>
          </c:tx>
          <c:spPr>
            <a:solidFill>
              <a:schemeClr val="accent3"/>
            </a:solidFill>
            <a:ln>
              <a:noFill/>
            </a:ln>
            <a:effectLst/>
          </c:spPr>
          <c:invertIfNegative val="0"/>
          <c:cat>
            <c:strRef>
              <c:f>pivot_table!$A$5:$A$7</c:f>
              <c:strCache>
                <c:ptCount val="2"/>
                <c:pt idx="0">
                  <c:v>Service</c:v>
                </c:pt>
                <c:pt idx="1">
                  <c:v>Technical</c:v>
                </c:pt>
              </c:strCache>
            </c:strRef>
          </c:cat>
          <c:val>
            <c:numRef>
              <c:f>pivot_table!$D$5:$D$7</c:f>
              <c:numCache>
                <c:formatCode>General</c:formatCode>
                <c:ptCount val="2"/>
                <c:pt idx="0">
                  <c:v>19</c:v>
                </c:pt>
                <c:pt idx="1">
                  <c:v>28</c:v>
                </c:pt>
              </c:numCache>
            </c:numRef>
          </c:val>
          <c:extLst>
            <c:ext xmlns:c16="http://schemas.microsoft.com/office/drawing/2014/chart" uri="{C3380CC4-5D6E-409C-BE32-E72D297353CC}">
              <c16:uniqueId val="{00000001-401E-4012-A04B-D2C59FE6F9E7}"/>
            </c:ext>
          </c:extLst>
        </c:ser>
        <c:dLbls>
          <c:showLegendKey val="0"/>
          <c:showVal val="0"/>
          <c:showCatName val="0"/>
          <c:showSerName val="0"/>
          <c:showPercent val="0"/>
          <c:showBubbleSize val="0"/>
        </c:dLbls>
        <c:gapWidth val="219"/>
        <c:overlap val="-27"/>
        <c:axId val="596282912"/>
        <c:axId val="596280000"/>
      </c:barChart>
      <c:catAx>
        <c:axId val="5962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80000"/>
        <c:crosses val="autoZero"/>
        <c:auto val="1"/>
        <c:lblAlgn val="ctr"/>
        <c:lblOffset val="100"/>
        <c:noMultiLvlLbl val="0"/>
      </c:catAx>
      <c:valAx>
        <c:axId val="596280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8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[ticket_analysis.xlsx]pivot_table!PivotTable4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IN">
                <a:solidFill>
                  <a:schemeClr val="tx1">
                    <a:lumMod val="85000"/>
                    <a:lumOff val="15000"/>
                  </a:schemeClr>
                </a:solidFill>
              </a:rPr>
              <a:t>Tickets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1.5748031496062992E-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937007874015748E-3"/>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3.937007874015748E-3"/>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1.5748031496062992E-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937007874015748E-3"/>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1.5748031496062992E-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pivot_table!$H$3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B2-4A71-886C-C0C3E0741D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B2-4A71-886C-C0C3E0741D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B2-4A71-886C-C0C3E0741DB9}"/>
              </c:ext>
            </c:extLst>
          </c:dPt>
          <c:dLbls>
            <c:dLbl>
              <c:idx val="0"/>
              <c:layout>
                <c:manualLayout>
                  <c:x val="3.937007874015748E-3"/>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B2-4A71-886C-C0C3E0741DB9}"/>
                </c:ext>
              </c:extLst>
            </c:dLbl>
            <c:dLbl>
              <c:idx val="2"/>
              <c:layout>
                <c:manualLayout>
                  <c:x val="1.5748031496062992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B2-4A71-886C-C0C3E0741DB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pivot_table!$G$4:$G$7</c:f>
              <c:strCache>
                <c:ptCount val="3"/>
                <c:pt idx="0">
                  <c:v>Chat</c:v>
                </c:pt>
                <c:pt idx="1">
                  <c:v>Email</c:v>
                </c:pt>
                <c:pt idx="2">
                  <c:v>Phone</c:v>
                </c:pt>
              </c:strCache>
            </c:strRef>
          </c:cat>
          <c:val>
            <c:numRef>
              <c:f>pivot_table!$H$4:$H$7</c:f>
              <c:numCache>
                <c:formatCode>General</c:formatCode>
                <c:ptCount val="3"/>
                <c:pt idx="0">
                  <c:v>26</c:v>
                </c:pt>
                <c:pt idx="1">
                  <c:v>22</c:v>
                </c:pt>
                <c:pt idx="2">
                  <c:v>30</c:v>
                </c:pt>
              </c:numCache>
            </c:numRef>
          </c:val>
          <c:extLst>
            <c:ext xmlns:c16="http://schemas.microsoft.com/office/drawing/2014/chart" uri="{C3380CC4-5D6E-409C-BE32-E72D297353CC}">
              <c16:uniqueId val="{00000006-5FB2-4A71-886C-C0C3E0741DB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203200</xdr:colOff>
      <xdr:row>6</xdr:row>
      <xdr:rowOff>19050</xdr:rowOff>
    </xdr:from>
    <xdr:to>
      <xdr:col>4</xdr:col>
      <xdr:colOff>1098550</xdr:colOff>
      <xdr:row>20</xdr:row>
      <xdr:rowOff>177800</xdr:rowOff>
    </xdr:to>
    <xdr:graphicFrame macro="">
      <xdr:nvGraphicFramePr>
        <xdr:cNvPr id="2" name="Chart 1">
          <a:extLst>
            <a:ext uri="{FF2B5EF4-FFF2-40B4-BE49-F238E27FC236}">
              <a16:creationId xmlns:a16="http://schemas.microsoft.com/office/drawing/2014/main" id="{2FF253DE-D014-4F6D-A6CF-84334E631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127000</xdr:colOff>
      <xdr:row>6</xdr:row>
      <xdr:rowOff>19050</xdr:rowOff>
    </xdr:from>
    <xdr:to>
      <xdr:col>9</xdr:col>
      <xdr:colOff>114300</xdr:colOff>
      <xdr:row>21</xdr:row>
      <xdr:rowOff>1</xdr:rowOff>
    </xdr:to>
    <xdr:graphicFrame macro="">
      <xdr:nvGraphicFramePr>
        <xdr:cNvPr id="3" name="Chart 2">
          <a:extLst>
            <a:ext uri="{FF2B5EF4-FFF2-40B4-BE49-F238E27FC236}">
              <a16:creationId xmlns:a16="http://schemas.microsoft.com/office/drawing/2014/main" id="{6AC503EB-9279-448C-AAA6-ED97C3944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241300</xdr:colOff>
      <xdr:row>6</xdr:row>
      <xdr:rowOff>25401</xdr:rowOff>
    </xdr:from>
    <xdr:to>
      <xdr:col>12</xdr:col>
      <xdr:colOff>241300</xdr:colOff>
      <xdr:row>11</xdr:row>
      <xdr:rowOff>95251</xdr:rowOff>
    </xdr:to>
    <mc:AlternateContent xmlns:mc="http://schemas.openxmlformats.org/markup-compatibility/2006" xmlns:a14="http://schemas.microsoft.com/office/drawing/2010/main">
      <mc:Choice Requires="a14">
        <xdr:graphicFrame macro="">
          <xdr:nvGraphicFramePr>
            <xdr:cNvPr id="5" name="department(XLOOKUP)">
              <a:extLst>
                <a:ext uri="{FF2B5EF4-FFF2-40B4-BE49-F238E27FC236}">
                  <a16:creationId xmlns:a16="http://schemas.microsoft.com/office/drawing/2014/main" id="{98544357-C8D6-40D2-8ABF-431800E3E545}"/>
                </a:ext>
              </a:extLst>
            </xdr:cNvPr>
            <xdr:cNvGraphicFramePr/>
          </xdr:nvGraphicFramePr>
          <xdr:xfrm>
            <a:off x="0" y="0"/>
            <a:ext cx="0" cy="0"/>
          </xdr:xfrm>
          <a:graphic>
            <a:graphicData uri="http://schemas.microsoft.com/office/drawing/2010/slicer">
              <sle:slicer xmlns:sle="http://schemas.microsoft.com/office/drawing/2010/slicer" name="department(XLOOKUP)"/>
            </a:graphicData>
          </a:graphic>
        </xdr:graphicFrame>
      </mc:Choice>
      <mc:Fallback xmlns="">
        <xdr:sp macro="" textlink="">
          <xdr:nvSpPr>
            <xdr:cNvPr id="0" name=""/>
            <xdr:cNvSpPr>
              <a:spLocks noTextEdit="1"/>
            </xdr:cNvSpPr>
          </xdr:nvSpPr>
          <xdr:spPr>
            <a:xfrm>
              <a:off x="8324850" y="127635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247650</xdr:colOff>
      <xdr:row>12</xdr:row>
      <xdr:rowOff>1</xdr:rowOff>
    </xdr:from>
    <xdr:to>
      <xdr:col>12</xdr:col>
      <xdr:colOff>247650</xdr:colOff>
      <xdr:row>18</xdr:row>
      <xdr:rowOff>50800</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03ACC7DF-DE28-41CF-AA25-478373AA07D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931150" y="2355851"/>
              <a:ext cx="1828800" cy="1155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0.36252</cdr:x>
      <cdr:y>0.01429</cdr:y>
    </cdr:from>
    <cdr:to>
      <cdr:x>0.8172</cdr:x>
      <cdr:y>0.14048</cdr:y>
    </cdr:to>
    <cdr:sp macro="" textlink="">
      <cdr:nvSpPr>
        <cdr:cNvPr id="3" name="TextBox 2">
          <a:extLst xmlns:a="http://schemas.openxmlformats.org/drawingml/2006/main">
            <a:ext uri="{FF2B5EF4-FFF2-40B4-BE49-F238E27FC236}">
              <a16:creationId xmlns:a16="http://schemas.microsoft.com/office/drawing/2014/main" id="{CFCCD189-77C6-4230-97DD-AD7310F6943D}"/>
            </a:ext>
          </a:extLst>
        </cdr:cNvPr>
        <cdr:cNvSpPr txBox="1"/>
      </cdr:nvSpPr>
      <cdr:spPr>
        <a:xfrm xmlns:a="http://schemas.openxmlformats.org/drawingml/2006/main">
          <a:off x="1498600" y="38100"/>
          <a:ext cx="1879600" cy="3365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300"/>
            <a:t>Month</a:t>
          </a:r>
          <a:r>
            <a:rPr lang="en-IN" sz="1300" baseline="0"/>
            <a:t> And Department</a:t>
          </a:r>
          <a:endParaRPr lang="en-IN" sz="13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P TECH" refreshedDate="46291.518312499997" createdVersion="7" refreshedVersion="7" minRefreshableVersion="3" recordCount="12" xr:uid="{71B78ED6-12D9-4CE8-850B-DC7D097AD48D}">
  <cacheSource type="worksheet">
    <worksheetSource name="Table13"/>
  </cacheSource>
  <cacheFields count="8">
    <cacheField name="ticket_id" numFmtId="0">
      <sharedItems containsSemiMixedTypes="0" containsString="0" containsNumber="1" containsInteger="1" minValue="1" maxValue="12" count="12">
        <n v="1"/>
        <n v="2"/>
        <n v="3"/>
        <n v="4"/>
        <n v="5"/>
        <n v="6"/>
        <n v="7"/>
        <n v="8"/>
        <n v="9"/>
        <n v="10"/>
        <n v="11"/>
        <n v="12"/>
      </sharedItems>
    </cacheField>
    <cacheField name="month" numFmtId="0">
      <sharedItems count="3">
        <s v="Jan"/>
        <s v="Feb"/>
        <s v="Mar"/>
      </sharedItems>
    </cacheField>
    <cacheField name="team_id" numFmtId="0">
      <sharedItems count="4">
        <s v="T1"/>
        <s v="T2"/>
        <s v="T3"/>
        <s v="T4"/>
      </sharedItems>
    </cacheField>
    <cacheField name="channel" numFmtId="0">
      <sharedItems count="3">
        <s v="Email"/>
        <s v="Chat"/>
        <s v="Phone"/>
      </sharedItems>
    </cacheField>
    <cacheField name="resolution_hours" numFmtId="2">
      <sharedItems containsSemiMixedTypes="0" containsString="0" containsNumber="1" containsInteger="1" minValue="8" maxValue="40" count="12">
        <n v="12"/>
        <n v="28"/>
        <n v="36"/>
        <n v="20"/>
        <n v="8"/>
        <n v="30"/>
        <n v="18"/>
        <n v="40"/>
        <n v="16"/>
        <n v="22"/>
        <n v="32"/>
        <n v="24"/>
      </sharedItems>
    </cacheField>
    <cacheField name="satisfaction" numFmtId="2">
      <sharedItems containsSemiMixedTypes="0" containsString="0" containsNumber="1" containsInteger="1" minValue="2" maxValue="5" count="4">
        <n v="4"/>
        <n v="3"/>
        <n v="2"/>
        <n v="5"/>
      </sharedItems>
    </cacheField>
    <cacheField name="department(XLOOKUP)" numFmtId="0">
      <sharedItems count="2">
        <s v="Service"/>
        <s v="Technical"/>
      </sharedItems>
    </cacheField>
    <cacheField name="breach_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617295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x v="0"/>
    <x v="0"/>
    <x v="0"/>
    <x v="0"/>
  </r>
  <r>
    <x v="1"/>
    <x v="0"/>
    <x v="1"/>
    <x v="1"/>
    <x v="1"/>
    <x v="1"/>
    <x v="0"/>
    <x v="1"/>
  </r>
  <r>
    <x v="2"/>
    <x v="0"/>
    <x v="2"/>
    <x v="2"/>
    <x v="2"/>
    <x v="2"/>
    <x v="1"/>
    <x v="1"/>
  </r>
  <r>
    <x v="3"/>
    <x v="0"/>
    <x v="3"/>
    <x v="0"/>
    <x v="3"/>
    <x v="0"/>
    <x v="1"/>
    <x v="0"/>
  </r>
  <r>
    <x v="4"/>
    <x v="1"/>
    <x v="0"/>
    <x v="1"/>
    <x v="4"/>
    <x v="3"/>
    <x v="0"/>
    <x v="0"/>
  </r>
  <r>
    <x v="5"/>
    <x v="1"/>
    <x v="1"/>
    <x v="2"/>
    <x v="5"/>
    <x v="1"/>
    <x v="0"/>
    <x v="1"/>
  </r>
  <r>
    <x v="6"/>
    <x v="1"/>
    <x v="2"/>
    <x v="0"/>
    <x v="6"/>
    <x v="0"/>
    <x v="1"/>
    <x v="0"/>
  </r>
  <r>
    <x v="7"/>
    <x v="1"/>
    <x v="3"/>
    <x v="1"/>
    <x v="7"/>
    <x v="2"/>
    <x v="1"/>
    <x v="1"/>
  </r>
  <r>
    <x v="8"/>
    <x v="2"/>
    <x v="0"/>
    <x v="2"/>
    <x v="8"/>
    <x v="0"/>
    <x v="0"/>
    <x v="0"/>
  </r>
  <r>
    <x v="9"/>
    <x v="2"/>
    <x v="1"/>
    <x v="0"/>
    <x v="9"/>
    <x v="0"/>
    <x v="0"/>
    <x v="0"/>
  </r>
  <r>
    <x v="10"/>
    <x v="2"/>
    <x v="2"/>
    <x v="1"/>
    <x v="10"/>
    <x v="1"/>
    <x v="1"/>
    <x v="1"/>
  </r>
  <r>
    <x v="11"/>
    <x v="2"/>
    <x v="3"/>
    <x v="2"/>
    <x v="11"/>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8E85FC-3670-40BF-8F70-8CA4661ABF1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7" firstHeaderRow="1" firstDataRow="1" firstDataCol="1"/>
  <pivotFields count="8">
    <pivotField dataField="1" showAll="0">
      <items count="13">
        <item h="1" x="0"/>
        <item h="1" x="1"/>
        <item h="1" x="2"/>
        <item h="1" x="3"/>
        <item h="1" x="4"/>
        <item h="1" x="5"/>
        <item h="1" x="6"/>
        <item h="1" x="7"/>
        <item h="1" x="8"/>
        <item h="1" x="9"/>
        <item x="10"/>
        <item h="1" x="11"/>
        <item t="default"/>
      </items>
    </pivotField>
    <pivotField showAll="0">
      <items count="4">
        <item x="0"/>
        <item x="1"/>
        <item x="2"/>
        <item t="default"/>
      </items>
    </pivotField>
    <pivotField showAll="0">
      <items count="5">
        <item x="0"/>
        <item x="1"/>
        <item x="2"/>
        <item x="3"/>
        <item t="default"/>
      </items>
    </pivotField>
    <pivotField axis="axisRow" showAll="0">
      <items count="4">
        <item x="1"/>
        <item x="0"/>
        <item x="2"/>
        <item t="default"/>
      </items>
    </pivotField>
    <pivotField numFmtId="2" showAll="0">
      <items count="13">
        <item x="4"/>
        <item x="0"/>
        <item x="8"/>
        <item x="6"/>
        <item x="3"/>
        <item x="9"/>
        <item x="11"/>
        <item x="1"/>
        <item x="5"/>
        <item x="10"/>
        <item x="2"/>
        <item x="7"/>
        <item t="default"/>
      </items>
    </pivotField>
    <pivotField numFmtId="2" showAll="0">
      <items count="5">
        <item x="2"/>
        <item x="1"/>
        <item x="0"/>
        <item x="3"/>
        <item t="default"/>
      </items>
    </pivotField>
    <pivotField showAll="0">
      <items count="3">
        <item x="0"/>
        <item x="1"/>
        <item t="default"/>
      </items>
    </pivotField>
    <pivotField showAll="0">
      <items count="3">
        <item x="0"/>
        <item x="1"/>
        <item t="default"/>
      </items>
    </pivotField>
  </pivotFields>
  <rowFields count="1">
    <field x="3"/>
  </rowFields>
  <rowItems count="4">
    <i>
      <x/>
    </i>
    <i>
      <x v="1"/>
    </i>
    <i>
      <x v="2"/>
    </i>
    <i t="grand">
      <x/>
    </i>
  </rowItems>
  <colItems count="1">
    <i/>
  </colItems>
  <dataFields count="1">
    <dataField name="Sum of ticket_id" fld="0"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 count="1" selected="0">
            <x v="0"/>
          </reference>
        </references>
      </pivotArea>
    </chartFormat>
    <chartFormat chart="1" format="5">
      <pivotArea type="data" outline="0" fieldPosition="0">
        <references count="2">
          <reference field="4294967294" count="1" selected="0">
            <x v="0"/>
          </reference>
          <reference field="3" count="1" selected="0">
            <x v="1"/>
          </reference>
        </references>
      </pivotArea>
    </chartFormat>
    <chartFormat chart="1" format="6">
      <pivotArea type="data" outline="0" fieldPosition="0">
        <references count="2">
          <reference field="4294967294" count="1" selected="0">
            <x v="0"/>
          </reference>
          <reference field="3"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DC14B-965A-4AD0-BE33-7D7331349A3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7" firstHeaderRow="1" firstDataRow="2" firstDataCol="1"/>
  <pivotFields count="8">
    <pivotField showAll="0">
      <items count="13">
        <item h="1" x="0"/>
        <item h="1" x="1"/>
        <item h="1" x="2"/>
        <item h="1" x="3"/>
        <item h="1" x="4"/>
        <item h="1" x="5"/>
        <item h="1" x="6"/>
        <item h="1" x="7"/>
        <item h="1" x="8"/>
        <item h="1" x="9"/>
        <item x="10"/>
        <item h="1" x="11"/>
        <item t="default"/>
      </items>
    </pivotField>
    <pivotField axis="axisCol" showAll="0">
      <items count="4">
        <item x="0"/>
        <item x="1"/>
        <item x="2"/>
        <item t="default"/>
      </items>
    </pivotField>
    <pivotField showAll="0"/>
    <pivotField showAll="0">
      <items count="4">
        <item x="1"/>
        <item x="0"/>
        <item x="2"/>
        <item t="default"/>
      </items>
    </pivotField>
    <pivotField dataField="1" numFmtId="2" showAll="0"/>
    <pivotField numFmtId="2" showAll="0"/>
    <pivotField axis="axisRow" showAll="0">
      <items count="3">
        <item x="0"/>
        <item x="1"/>
        <item t="default"/>
      </items>
    </pivotField>
    <pivotField showAll="0"/>
  </pivotFields>
  <rowFields count="1">
    <field x="6"/>
  </rowFields>
  <rowItems count="3">
    <i>
      <x/>
    </i>
    <i>
      <x v="1"/>
    </i>
    <i t="grand">
      <x/>
    </i>
  </rowItems>
  <colFields count="1">
    <field x="1"/>
  </colFields>
  <colItems count="4">
    <i>
      <x/>
    </i>
    <i>
      <x v="1"/>
    </i>
    <i>
      <x v="2"/>
    </i>
    <i t="grand">
      <x/>
    </i>
  </colItems>
  <dataFields count="1">
    <dataField name="Average of resolution_hours" fld="4" subtotal="average" baseField="6"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F99E82-3832-4C2B-B74F-A8A108B2004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C26" firstHeaderRow="1" firstDataRow="1" firstDataCol="0"/>
  <pivotFields count="8">
    <pivotField showAll="0"/>
    <pivotField showAll="0"/>
    <pivotField showAll="0"/>
    <pivotField showAll="0"/>
    <pivotField numFmtId="2" showAll="0"/>
    <pivotField numFmtId="2"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XLOOKUP" xr10:uid="{BB50ED7E-9DBE-4429-9CDD-F85C2F89A976}" sourceName="department(XLOOKUP)">
  <pivotTables>
    <pivotTable tabId="5" name="PivotTable1"/>
    <pivotTable tabId="5" name="PivotTable4"/>
  </pivotTables>
  <data>
    <tabular pivotCacheId="6172954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6E5C8DA-107B-40FF-9BAE-C35DF7CA0F4F}" sourceName="channel">
  <pivotTables>
    <pivotTable tabId="5" name="PivotTable1"/>
    <pivotTable tabId="5" name="PivotTable4"/>
  </pivotTables>
  <data>
    <tabular pivotCacheId="61729547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XLOOKUP)" xr10:uid="{1D400532-8139-4E5F-835B-F00353E59D80}" cache="Slicer_department_XLOOKUP" caption="department(XLOOKUP)" rowHeight="241300"/>
  <slicer name="channel" xr10:uid="{2D0AADC3-E9F5-4758-8CCE-5CE3E9809107}" cache="Slicer_channel" caption="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610F41-B42D-4E79-993C-6F6E708AEF1E}" name="Table1" displayName="Table1" ref="A1:F14" totalsRowShown="0" headerRowDxfId="13">
  <autoFilter ref="A1:F14" xr:uid="{6C610F41-B42D-4E79-993C-6F6E708AEF1E}"/>
  <tableColumns count="6">
    <tableColumn id="1" xr3:uid="{E958F79E-FFF7-4FC6-AF26-BE4C89841821}" name="ticket_id"/>
    <tableColumn id="2" xr3:uid="{FFD4612C-AF5F-4AD6-9E3D-93187693E991}" name="month"/>
    <tableColumn id="3" xr3:uid="{FF6252B8-A3DA-4ABA-89C4-0FA3164CB0D6}" name="team_id"/>
    <tableColumn id="4" xr3:uid="{E8ACD148-D3AF-4777-9294-524B119DB099}" name="channel"/>
    <tableColumn id="5" xr3:uid="{23AD1645-9C27-480B-88AF-2C3911A1B64F}" name="resolution_hours"/>
    <tableColumn id="6" xr3:uid="{C1134AF9-AA27-4DBE-9705-2B5291EEF9A1}" name="satisf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F4233F-307A-405C-BE6A-70AB0D406751}" name="Table3" displayName="Table3" ref="A1:C5" totalsRowShown="0" headerRowDxfId="12" dataDxfId="10" headerRowBorderDxfId="11" tableBorderDxfId="9" totalsRowBorderDxfId="8">
  <autoFilter ref="A1:C5" xr:uid="{53F4233F-307A-405C-BE6A-70AB0D406751}"/>
  <tableColumns count="3">
    <tableColumn id="1" xr3:uid="{0B64E5F2-DAD1-40AA-87E5-2C755CEDB557}" name="team_id" dataDxfId="7"/>
    <tableColumn id="2" xr3:uid="{B078DEAC-9E55-4BD8-8522-4D756E7B5025}" name="team" dataDxfId="6"/>
    <tableColumn id="3" xr3:uid="{8390D5F8-8522-4774-890C-C2179513ACDA}" name="department"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1CD671-72F8-4517-A80E-03BD53E56862}" name="Table13" displayName="Table13" ref="A1:H13" totalsRowShown="0" headerRowDxfId="4">
  <autoFilter ref="A1:H13" xr:uid="{681CD671-72F8-4517-A80E-03BD53E56862}"/>
  <tableColumns count="8">
    <tableColumn id="1" xr3:uid="{7BDBCCD3-9AB1-43C2-9D12-FA047BF4D73D}" name="ticket_id"/>
    <tableColumn id="2" xr3:uid="{9A6AA1EE-1A2D-41DD-B1C4-FA43CF156E8E}" name="month"/>
    <tableColumn id="3" xr3:uid="{3575B23C-1A4C-453B-8419-3ADE6C497448}" name="team_id"/>
    <tableColumn id="4" xr3:uid="{328B4A31-78A3-484F-A8F3-7D4C3A52F2FB}" name="channel"/>
    <tableColumn id="5" xr3:uid="{7E506D77-90E8-4B6B-AC83-52286061ECAF}" name="resolution_hours" dataDxfId="3"/>
    <tableColumn id="6" xr3:uid="{0B2477A8-6C95-4C0B-99F9-F8FB68FA84E4}" name="satisfaction" dataDxfId="2"/>
    <tableColumn id="7" xr3:uid="{1E8CA858-FAA2-4997-92B8-759CE5384FF2}" name="department(XLOOKUP)" dataDxfId="1">
      <calculatedColumnFormula>_xlfn.XLOOKUP(C2,Lookup!$A$2:$A$5,Lookup!$C$2:$C$5)</calculatedColumnFormula>
    </tableColumn>
    <tableColumn id="8" xr3:uid="{E7CBE16C-2919-4C73-85FE-252882CDC87A}" name="breach_flag" dataDxfId="0">
      <calculatedColumnFormula>IF(E2&gt;24,1,0)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D1A2-7D40-4386-B7A2-55E1F6D826DF}">
  <dimension ref="A1:AC4"/>
  <sheetViews>
    <sheetView showGridLines="0" tabSelected="1" zoomScale="88" workbookViewId="0">
      <selection activeCell="I4" sqref="I4"/>
    </sheetView>
  </sheetViews>
  <sheetFormatPr defaultRowHeight="14.5" x14ac:dyDescent="0.35"/>
  <cols>
    <col min="1" max="1" width="16.08984375" customWidth="1"/>
    <col min="3" max="3" width="18.54296875" bestFit="1" customWidth="1"/>
    <col min="5" max="5" width="17.26953125" bestFit="1" customWidth="1"/>
    <col min="7" max="8" width="14.453125" bestFit="1" customWidth="1"/>
  </cols>
  <sheetData>
    <row r="1" spans="1:29" s="19" customFormat="1" ht="26" x14ac:dyDescent="0.6">
      <c r="A1" s="29" t="s">
        <v>40</v>
      </c>
      <c r="B1" s="29"/>
      <c r="C1" s="29"/>
      <c r="D1" s="29"/>
      <c r="E1" s="29"/>
      <c r="F1" s="29"/>
      <c r="G1" s="29"/>
      <c r="H1" s="29"/>
      <c r="I1" s="29"/>
      <c r="J1" s="29"/>
      <c r="K1" s="20"/>
      <c r="L1" s="20"/>
      <c r="M1" s="20"/>
      <c r="N1" s="20"/>
      <c r="O1" s="20"/>
      <c r="P1" s="20"/>
      <c r="Q1" s="20"/>
      <c r="R1" s="20"/>
      <c r="S1" s="20"/>
      <c r="T1" s="20"/>
      <c r="U1" s="20"/>
      <c r="V1" s="20"/>
      <c r="W1" s="20"/>
      <c r="X1" s="20"/>
      <c r="Y1" s="20"/>
      <c r="Z1" s="20"/>
      <c r="AA1" s="20"/>
      <c r="AB1" s="20"/>
      <c r="AC1" s="20"/>
    </row>
    <row r="3" spans="1:29" x14ac:dyDescent="0.35">
      <c r="A3" s="30" t="s">
        <v>35</v>
      </c>
      <c r="C3" s="30" t="s">
        <v>37</v>
      </c>
      <c r="E3" s="30" t="s">
        <v>38</v>
      </c>
      <c r="G3" s="30" t="s">
        <v>36</v>
      </c>
    </row>
    <row r="4" spans="1:29" x14ac:dyDescent="0.35">
      <c r="A4" s="31">
        <f>COUNTA(Clean!A2:A13)</f>
        <v>12</v>
      </c>
      <c r="C4" s="31">
        <f>COUNTIF(Clean!H2:H13,1)</f>
        <v>5</v>
      </c>
      <c r="E4" s="31">
        <f>COUNTIF(Clean!H2:H13,1)</f>
        <v>5</v>
      </c>
      <c r="G4" s="32">
        <f>AVERAGE(Clean!E2:E13)</f>
        <v>23.833333333333332</v>
      </c>
    </row>
  </sheetData>
  <mergeCells count="1">
    <mergeCell ref="A1:J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C721-A8FB-412F-B816-31C7ABD1CCBF}">
  <dimension ref="A1:H14"/>
  <sheetViews>
    <sheetView workbookViewId="0">
      <selection activeCell="J12" sqref="J12"/>
    </sheetView>
  </sheetViews>
  <sheetFormatPr defaultRowHeight="14.5" x14ac:dyDescent="0.35"/>
  <cols>
    <col min="1" max="1" width="10.08984375" customWidth="1"/>
    <col min="3" max="4" width="10.453125" customWidth="1"/>
    <col min="5" max="5" width="20.26953125" customWidth="1"/>
    <col min="6" max="6" width="15.90625" customWidth="1"/>
    <col min="8" max="8" width="16" bestFit="1" customWidth="1"/>
  </cols>
  <sheetData>
    <row r="1" spans="1:8" x14ac:dyDescent="0.35">
      <c r="A1" s="2" t="s">
        <v>0</v>
      </c>
      <c r="B1" s="1" t="s">
        <v>1</v>
      </c>
      <c r="C1" s="1" t="s">
        <v>2</v>
      </c>
      <c r="D1" s="1" t="s">
        <v>3</v>
      </c>
      <c r="E1" s="1" t="s">
        <v>4</v>
      </c>
      <c r="F1" s="1" t="s">
        <v>5</v>
      </c>
      <c r="H1" s="6" t="s">
        <v>24</v>
      </c>
    </row>
    <row r="2" spans="1:8" x14ac:dyDescent="0.35">
      <c r="A2">
        <v>1</v>
      </c>
      <c r="B2" t="s">
        <v>6</v>
      </c>
      <c r="C2" t="s">
        <v>9</v>
      </c>
      <c r="D2" t="s">
        <v>13</v>
      </c>
      <c r="E2">
        <v>12</v>
      </c>
      <c r="F2">
        <v>4</v>
      </c>
      <c r="H2" s="5">
        <f>COUNTA(A2:A14)</f>
        <v>13</v>
      </c>
    </row>
    <row r="3" spans="1:8" x14ac:dyDescent="0.35">
      <c r="A3">
        <v>2</v>
      </c>
      <c r="B3" t="s">
        <v>6</v>
      </c>
      <c r="C3" t="s">
        <v>10</v>
      </c>
      <c r="D3" t="s">
        <v>14</v>
      </c>
      <c r="E3">
        <v>28</v>
      </c>
      <c r="F3">
        <v>3</v>
      </c>
    </row>
    <row r="4" spans="1:8" x14ac:dyDescent="0.35">
      <c r="A4">
        <v>3</v>
      </c>
      <c r="B4" t="s">
        <v>6</v>
      </c>
      <c r="C4" t="s">
        <v>11</v>
      </c>
      <c r="D4" t="s">
        <v>15</v>
      </c>
      <c r="E4">
        <v>36</v>
      </c>
      <c r="F4">
        <v>2</v>
      </c>
    </row>
    <row r="5" spans="1:8" x14ac:dyDescent="0.35">
      <c r="A5">
        <v>4</v>
      </c>
      <c r="B5" t="s">
        <v>6</v>
      </c>
      <c r="C5" t="s">
        <v>12</v>
      </c>
      <c r="D5" t="s">
        <v>13</v>
      </c>
      <c r="E5">
        <v>20</v>
      </c>
      <c r="F5">
        <v>4</v>
      </c>
    </row>
    <row r="6" spans="1:8" x14ac:dyDescent="0.35">
      <c r="A6">
        <v>5</v>
      </c>
      <c r="B6" t="s">
        <v>7</v>
      </c>
      <c r="C6" t="s">
        <v>9</v>
      </c>
      <c r="D6" t="s">
        <v>14</v>
      </c>
      <c r="E6">
        <v>8</v>
      </c>
      <c r="F6">
        <v>5</v>
      </c>
    </row>
    <row r="7" spans="1:8" x14ac:dyDescent="0.35">
      <c r="A7">
        <v>6</v>
      </c>
      <c r="B7" t="s">
        <v>7</v>
      </c>
      <c r="C7" t="s">
        <v>10</v>
      </c>
      <c r="D7" t="s">
        <v>15</v>
      </c>
      <c r="E7">
        <v>30</v>
      </c>
      <c r="F7">
        <v>3</v>
      </c>
    </row>
    <row r="8" spans="1:8" x14ac:dyDescent="0.35">
      <c r="A8">
        <v>7</v>
      </c>
      <c r="B8" t="s">
        <v>7</v>
      </c>
      <c r="C8" t="s">
        <v>11</v>
      </c>
      <c r="D8" t="s">
        <v>13</v>
      </c>
      <c r="E8">
        <v>18</v>
      </c>
      <c r="F8">
        <v>4</v>
      </c>
    </row>
    <row r="9" spans="1:8" x14ac:dyDescent="0.35">
      <c r="A9">
        <v>8</v>
      </c>
      <c r="B9" t="s">
        <v>7</v>
      </c>
      <c r="C9" t="s">
        <v>12</v>
      </c>
      <c r="D9" t="s">
        <v>14</v>
      </c>
      <c r="E9">
        <v>40</v>
      </c>
      <c r="F9">
        <v>2</v>
      </c>
    </row>
    <row r="10" spans="1:8" x14ac:dyDescent="0.35">
      <c r="A10">
        <v>9</v>
      </c>
      <c r="B10" t="s">
        <v>8</v>
      </c>
      <c r="C10" t="s">
        <v>9</v>
      </c>
      <c r="D10" t="s">
        <v>15</v>
      </c>
      <c r="E10">
        <v>16</v>
      </c>
      <c r="F10">
        <v>4</v>
      </c>
    </row>
    <row r="11" spans="1:8" x14ac:dyDescent="0.35">
      <c r="A11">
        <v>10</v>
      </c>
      <c r="B11" t="s">
        <v>8</v>
      </c>
      <c r="C11" t="s">
        <v>10</v>
      </c>
      <c r="D11" t="s">
        <v>13</v>
      </c>
      <c r="E11">
        <v>22</v>
      </c>
      <c r="F11">
        <v>4</v>
      </c>
    </row>
    <row r="12" spans="1:8" x14ac:dyDescent="0.35">
      <c r="A12">
        <v>11</v>
      </c>
      <c r="B12" t="s">
        <v>8</v>
      </c>
      <c r="C12" t="s">
        <v>11</v>
      </c>
      <c r="D12" t="s">
        <v>14</v>
      </c>
      <c r="E12">
        <v>32</v>
      </c>
      <c r="F12">
        <v>3</v>
      </c>
    </row>
    <row r="13" spans="1:8" x14ac:dyDescent="0.35">
      <c r="A13">
        <v>12</v>
      </c>
      <c r="B13" t="s">
        <v>8</v>
      </c>
      <c r="C13" t="s">
        <v>12</v>
      </c>
      <c r="D13" t="s">
        <v>15</v>
      </c>
      <c r="E13">
        <v>24</v>
      </c>
      <c r="F13">
        <v>5</v>
      </c>
    </row>
    <row r="14" spans="1:8" x14ac:dyDescent="0.35">
      <c r="A14">
        <v>12</v>
      </c>
      <c r="B14" t="s">
        <v>8</v>
      </c>
      <c r="C14" t="s">
        <v>12</v>
      </c>
      <c r="D14" t="s">
        <v>15</v>
      </c>
      <c r="E14">
        <v>24</v>
      </c>
      <c r="F14">
        <v>5</v>
      </c>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93EC-6351-416B-B889-5E102D81F103}">
  <dimension ref="A1:C5"/>
  <sheetViews>
    <sheetView zoomScale="85" zoomScaleNormal="85" workbookViewId="0">
      <selection activeCell="C12" sqref="C12"/>
    </sheetView>
  </sheetViews>
  <sheetFormatPr defaultRowHeight="14.5" x14ac:dyDescent="0.35"/>
  <cols>
    <col min="1" max="1" width="10.36328125" customWidth="1"/>
    <col min="2" max="2" width="12.90625" bestFit="1" customWidth="1"/>
    <col min="3" max="3" width="13.54296875" customWidth="1"/>
  </cols>
  <sheetData>
    <row r="1" spans="1:3" x14ac:dyDescent="0.35">
      <c r="A1" s="21" t="s">
        <v>2</v>
      </c>
      <c r="B1" s="22" t="s">
        <v>16</v>
      </c>
      <c r="C1" s="23" t="s">
        <v>17</v>
      </c>
    </row>
    <row r="2" spans="1:3" x14ac:dyDescent="0.35">
      <c r="A2" s="24" t="s">
        <v>9</v>
      </c>
      <c r="B2" s="5" t="s">
        <v>18</v>
      </c>
      <c r="C2" s="25" t="s">
        <v>22</v>
      </c>
    </row>
    <row r="3" spans="1:3" x14ac:dyDescent="0.35">
      <c r="A3" s="24" t="s">
        <v>10</v>
      </c>
      <c r="B3" s="5" t="s">
        <v>19</v>
      </c>
      <c r="C3" s="25" t="s">
        <v>22</v>
      </c>
    </row>
    <row r="4" spans="1:3" x14ac:dyDescent="0.35">
      <c r="A4" s="24" t="s">
        <v>11</v>
      </c>
      <c r="B4" s="5" t="s">
        <v>20</v>
      </c>
      <c r="C4" s="25" t="s">
        <v>23</v>
      </c>
    </row>
    <row r="5" spans="1:3" x14ac:dyDescent="0.35">
      <c r="A5" s="26" t="s">
        <v>12</v>
      </c>
      <c r="B5" s="27" t="s">
        <v>21</v>
      </c>
      <c r="C5" s="28" t="s">
        <v>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0EBB2-462B-4144-BCCC-F4C9361AC045}">
  <dimension ref="A1:H18"/>
  <sheetViews>
    <sheetView workbookViewId="0">
      <selection activeCell="C6" sqref="C6:D8"/>
    </sheetView>
  </sheetViews>
  <sheetFormatPr defaultRowHeight="14.5" x14ac:dyDescent="0.35"/>
  <cols>
    <col min="1" max="1" width="16" bestFit="1" customWidth="1"/>
    <col min="2" max="2" width="8.54296875" bestFit="1" customWidth="1"/>
    <col min="3" max="3" width="10.7265625" bestFit="1" customWidth="1"/>
    <col min="5" max="5" width="20.7265625" style="4" bestFit="1" customWidth="1"/>
    <col min="6" max="6" width="16.26953125" style="4" bestFit="1" customWidth="1"/>
    <col min="7" max="7" width="21.81640625" customWidth="1"/>
    <col min="8" max="8" width="16" bestFit="1" customWidth="1"/>
  </cols>
  <sheetData>
    <row r="1" spans="1:8" x14ac:dyDescent="0.35">
      <c r="A1" t="s">
        <v>0</v>
      </c>
      <c r="B1" s="1" t="s">
        <v>1</v>
      </c>
      <c r="C1" s="1" t="s">
        <v>2</v>
      </c>
      <c r="D1" s="1" t="s">
        <v>3</v>
      </c>
      <c r="E1" s="3" t="s">
        <v>4</v>
      </c>
      <c r="F1" s="3" t="s">
        <v>5</v>
      </c>
      <c r="G1" s="1" t="s">
        <v>26</v>
      </c>
      <c r="H1" s="1" t="s">
        <v>27</v>
      </c>
    </row>
    <row r="2" spans="1:8" x14ac:dyDescent="0.35">
      <c r="A2">
        <v>1</v>
      </c>
      <c r="B2" t="s">
        <v>6</v>
      </c>
      <c r="C2" t="s">
        <v>9</v>
      </c>
      <c r="D2" t="s">
        <v>13</v>
      </c>
      <c r="E2" s="4">
        <v>12</v>
      </c>
      <c r="F2" s="4">
        <v>4</v>
      </c>
      <c r="G2" t="str">
        <f>_xlfn.XLOOKUP(C2,Lookup!$A$2:$A$5,Lookup!$C$2:$C$5)</f>
        <v>Service</v>
      </c>
      <c r="H2">
        <f t="shared" ref="H2:H13" si="0">IF(E2&gt;24,1,0)</f>
        <v>0</v>
      </c>
    </row>
    <row r="3" spans="1:8" x14ac:dyDescent="0.35">
      <c r="A3">
        <v>2</v>
      </c>
      <c r="B3" t="s">
        <v>6</v>
      </c>
      <c r="C3" t="s">
        <v>10</v>
      </c>
      <c r="D3" t="s">
        <v>14</v>
      </c>
      <c r="E3" s="4">
        <v>28</v>
      </c>
      <c r="F3" s="4">
        <v>3</v>
      </c>
      <c r="G3" t="str">
        <f>_xlfn.XLOOKUP(C3,Lookup!$A$2:$A$5,Lookup!$C$2:$C$5)</f>
        <v>Service</v>
      </c>
      <c r="H3">
        <f t="shared" si="0"/>
        <v>1</v>
      </c>
    </row>
    <row r="4" spans="1:8" x14ac:dyDescent="0.35">
      <c r="A4">
        <v>3</v>
      </c>
      <c r="B4" t="s">
        <v>6</v>
      </c>
      <c r="C4" t="s">
        <v>11</v>
      </c>
      <c r="D4" t="s">
        <v>15</v>
      </c>
      <c r="E4" s="4">
        <v>36</v>
      </c>
      <c r="F4" s="4">
        <v>2</v>
      </c>
      <c r="G4" t="str">
        <f>_xlfn.XLOOKUP(C4,Lookup!$A$2:$A$5,Lookup!$C$2:$C$5)</f>
        <v>Technical</v>
      </c>
      <c r="H4">
        <f t="shared" si="0"/>
        <v>1</v>
      </c>
    </row>
    <row r="5" spans="1:8" x14ac:dyDescent="0.35">
      <c r="A5">
        <v>4</v>
      </c>
      <c r="B5" t="s">
        <v>6</v>
      </c>
      <c r="C5" t="s">
        <v>12</v>
      </c>
      <c r="D5" t="s">
        <v>13</v>
      </c>
      <c r="E5" s="4">
        <v>20</v>
      </c>
      <c r="F5" s="4">
        <v>4</v>
      </c>
      <c r="G5" t="str">
        <f>_xlfn.XLOOKUP(C5,Lookup!$A$2:$A$5,Lookup!$C$2:$C$5)</f>
        <v>Technical</v>
      </c>
      <c r="H5">
        <f t="shared" si="0"/>
        <v>0</v>
      </c>
    </row>
    <row r="6" spans="1:8" x14ac:dyDescent="0.35">
      <c r="A6">
        <v>5</v>
      </c>
      <c r="B6" t="s">
        <v>7</v>
      </c>
      <c r="C6" t="s">
        <v>9</v>
      </c>
      <c r="D6" t="s">
        <v>14</v>
      </c>
      <c r="E6" s="4">
        <v>8</v>
      </c>
      <c r="F6" s="4">
        <v>5</v>
      </c>
      <c r="G6" t="str">
        <f>_xlfn.XLOOKUP(C6,Lookup!$A$2:$A$5,Lookup!$C$2:$C$5)</f>
        <v>Service</v>
      </c>
      <c r="H6">
        <f t="shared" si="0"/>
        <v>0</v>
      </c>
    </row>
    <row r="7" spans="1:8" x14ac:dyDescent="0.35">
      <c r="A7">
        <v>6</v>
      </c>
      <c r="B7" t="s">
        <v>7</v>
      </c>
      <c r="C7" t="s">
        <v>10</v>
      </c>
      <c r="D7" t="s">
        <v>15</v>
      </c>
      <c r="E7" s="4">
        <v>30</v>
      </c>
      <c r="F7" s="4">
        <v>3</v>
      </c>
      <c r="G7" t="str">
        <f>_xlfn.XLOOKUP(C7,Lookup!$A$2:$A$5,Lookup!$C$2:$C$5)</f>
        <v>Service</v>
      </c>
      <c r="H7">
        <f t="shared" si="0"/>
        <v>1</v>
      </c>
    </row>
    <row r="8" spans="1:8" x14ac:dyDescent="0.35">
      <c r="A8">
        <v>7</v>
      </c>
      <c r="B8" t="s">
        <v>7</v>
      </c>
      <c r="C8" t="s">
        <v>11</v>
      </c>
      <c r="D8" t="s">
        <v>13</v>
      </c>
      <c r="E8" s="4">
        <v>18</v>
      </c>
      <c r="F8" s="4">
        <v>4</v>
      </c>
      <c r="G8" t="str">
        <f>_xlfn.XLOOKUP(C8,Lookup!$A$2:$A$5,Lookup!$C$2:$C$5)</f>
        <v>Technical</v>
      </c>
      <c r="H8">
        <f t="shared" si="0"/>
        <v>0</v>
      </c>
    </row>
    <row r="9" spans="1:8" x14ac:dyDescent="0.35">
      <c r="A9">
        <v>8</v>
      </c>
      <c r="B9" t="s">
        <v>7</v>
      </c>
      <c r="C9" t="s">
        <v>12</v>
      </c>
      <c r="D9" t="s">
        <v>14</v>
      </c>
      <c r="E9" s="4">
        <v>40</v>
      </c>
      <c r="F9" s="4">
        <v>2</v>
      </c>
      <c r="G9" t="str">
        <f>_xlfn.XLOOKUP(C9,Lookup!$A$2:$A$5,Lookup!$C$2:$C$5)</f>
        <v>Technical</v>
      </c>
      <c r="H9">
        <f t="shared" si="0"/>
        <v>1</v>
      </c>
    </row>
    <row r="10" spans="1:8" x14ac:dyDescent="0.35">
      <c r="A10">
        <v>9</v>
      </c>
      <c r="B10" t="s">
        <v>8</v>
      </c>
      <c r="C10" t="s">
        <v>9</v>
      </c>
      <c r="D10" t="s">
        <v>15</v>
      </c>
      <c r="E10" s="4">
        <v>16</v>
      </c>
      <c r="F10" s="4">
        <v>4</v>
      </c>
      <c r="G10" t="str">
        <f>_xlfn.XLOOKUP(C10,Lookup!$A$2:$A$5,Lookup!$C$2:$C$5)</f>
        <v>Service</v>
      </c>
      <c r="H10">
        <f t="shared" si="0"/>
        <v>0</v>
      </c>
    </row>
    <row r="11" spans="1:8" x14ac:dyDescent="0.35">
      <c r="A11">
        <v>10</v>
      </c>
      <c r="B11" t="s">
        <v>8</v>
      </c>
      <c r="C11" t="s">
        <v>10</v>
      </c>
      <c r="D11" t="s">
        <v>13</v>
      </c>
      <c r="E11" s="4">
        <v>22</v>
      </c>
      <c r="F11" s="4">
        <v>4</v>
      </c>
      <c r="G11" t="str">
        <f>_xlfn.XLOOKUP(C11,Lookup!$A$2:$A$5,Lookup!$C$2:$C$5)</f>
        <v>Service</v>
      </c>
      <c r="H11">
        <f t="shared" si="0"/>
        <v>0</v>
      </c>
    </row>
    <row r="12" spans="1:8" x14ac:dyDescent="0.35">
      <c r="A12">
        <v>11</v>
      </c>
      <c r="B12" t="s">
        <v>8</v>
      </c>
      <c r="C12" t="s">
        <v>11</v>
      </c>
      <c r="D12" t="s">
        <v>14</v>
      </c>
      <c r="E12" s="4">
        <v>32</v>
      </c>
      <c r="F12" s="4">
        <v>3</v>
      </c>
      <c r="G12" t="str">
        <f>_xlfn.XLOOKUP(C12,Lookup!$A$2:$A$5,Lookup!$C$2:$C$5)</f>
        <v>Technical</v>
      </c>
      <c r="H12">
        <f t="shared" si="0"/>
        <v>1</v>
      </c>
    </row>
    <row r="13" spans="1:8" x14ac:dyDescent="0.35">
      <c r="A13">
        <v>12</v>
      </c>
      <c r="B13" t="s">
        <v>8</v>
      </c>
      <c r="C13" t="s">
        <v>12</v>
      </c>
      <c r="D13" t="s">
        <v>15</v>
      </c>
      <c r="E13" s="4">
        <v>24</v>
      </c>
      <c r="F13" s="4">
        <v>5</v>
      </c>
      <c r="G13" t="str">
        <f>_xlfn.XLOOKUP(C13,Lookup!$A$2:$A$5,Lookup!$C$2:$C$5)</f>
        <v>Technical</v>
      </c>
      <c r="H13">
        <f t="shared" si="0"/>
        <v>0</v>
      </c>
    </row>
    <row r="15" spans="1:8" x14ac:dyDescent="0.35">
      <c r="A15" s="6" t="s">
        <v>25</v>
      </c>
    </row>
    <row r="16" spans="1:8" x14ac:dyDescent="0.35">
      <c r="A16" s="5">
        <f>COUNTA(A2:A13)</f>
        <v>12</v>
      </c>
    </row>
    <row r="17" spans="1:1" x14ac:dyDescent="0.35">
      <c r="A17" s="6" t="s">
        <v>24</v>
      </c>
    </row>
    <row r="18" spans="1:1" x14ac:dyDescent="0.35">
      <c r="A18" s="5">
        <f>COUNTA(Raw!A2:A14)</f>
        <v>13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D10C-4E2D-45C3-84FB-A714E7ED7E8C}">
  <dimension ref="A3:H26"/>
  <sheetViews>
    <sheetView workbookViewId="0">
      <selection activeCell="E3" sqref="E3"/>
    </sheetView>
  </sheetViews>
  <sheetFormatPr defaultRowHeight="14.5" x14ac:dyDescent="0.35"/>
  <cols>
    <col min="1" max="1" width="24.81640625" bestFit="1" customWidth="1"/>
    <col min="2" max="2" width="15.26953125" bestFit="1" customWidth="1"/>
    <col min="3" max="3" width="3.81640625" bestFit="1" customWidth="1"/>
    <col min="4" max="4" width="4.81640625" bestFit="1" customWidth="1"/>
    <col min="5" max="5" width="11.81640625" bestFit="1" customWidth="1"/>
    <col min="7" max="7" width="12.36328125" bestFit="1" customWidth="1"/>
    <col min="8" max="8" width="14.453125" bestFit="1" customWidth="1"/>
  </cols>
  <sheetData>
    <row r="3" spans="1:8" x14ac:dyDescent="0.35">
      <c r="A3" s="17" t="s">
        <v>34</v>
      </c>
      <c r="B3" s="17" t="s">
        <v>33</v>
      </c>
      <c r="G3" s="17" t="s">
        <v>31</v>
      </c>
      <c r="H3" t="s">
        <v>39</v>
      </c>
    </row>
    <row r="4" spans="1:8" x14ac:dyDescent="0.35">
      <c r="A4" s="17" t="s">
        <v>31</v>
      </c>
      <c r="B4" t="s">
        <v>6</v>
      </c>
      <c r="C4" t="s">
        <v>7</v>
      </c>
      <c r="D4" t="s">
        <v>8</v>
      </c>
      <c r="E4" t="s">
        <v>32</v>
      </c>
      <c r="G4" s="18" t="s">
        <v>14</v>
      </c>
      <c r="H4">
        <v>26</v>
      </c>
    </row>
    <row r="5" spans="1:8" x14ac:dyDescent="0.35">
      <c r="A5" s="18" t="s">
        <v>22</v>
      </c>
      <c r="B5">
        <v>20</v>
      </c>
      <c r="C5">
        <v>19</v>
      </c>
      <c r="D5">
        <v>19</v>
      </c>
      <c r="E5">
        <v>19.333333333333332</v>
      </c>
      <c r="G5" s="18" t="s">
        <v>13</v>
      </c>
      <c r="H5">
        <v>22</v>
      </c>
    </row>
    <row r="6" spans="1:8" x14ac:dyDescent="0.35">
      <c r="A6" s="18" t="s">
        <v>23</v>
      </c>
      <c r="B6">
        <v>28</v>
      </c>
      <c r="C6">
        <v>29</v>
      </c>
      <c r="D6">
        <v>28</v>
      </c>
      <c r="E6">
        <v>28.333333333333332</v>
      </c>
      <c r="G6" s="18" t="s">
        <v>15</v>
      </c>
      <c r="H6">
        <v>30</v>
      </c>
    </row>
    <row r="7" spans="1:8" x14ac:dyDescent="0.35">
      <c r="A7" s="18" t="s">
        <v>32</v>
      </c>
      <c r="B7">
        <v>24</v>
      </c>
      <c r="C7">
        <v>24</v>
      </c>
      <c r="D7">
        <v>23.5</v>
      </c>
      <c r="E7">
        <v>23.833333333333332</v>
      </c>
      <c r="G7" s="18" t="s">
        <v>32</v>
      </c>
      <c r="H7">
        <v>78</v>
      </c>
    </row>
    <row r="9" spans="1:8" x14ac:dyDescent="0.35">
      <c r="A9" s="8"/>
      <c r="B9" s="9"/>
      <c r="C9" s="10"/>
    </row>
    <row r="10" spans="1:8" x14ac:dyDescent="0.35">
      <c r="A10" s="11"/>
      <c r="B10" s="12"/>
      <c r="C10" s="13"/>
    </row>
    <row r="11" spans="1:8" x14ac:dyDescent="0.35">
      <c r="A11" s="11"/>
      <c r="B11" s="12"/>
      <c r="C11" s="13"/>
    </row>
    <row r="12" spans="1:8" x14ac:dyDescent="0.35">
      <c r="A12" s="11"/>
      <c r="B12" s="12"/>
      <c r="C12" s="13"/>
    </row>
    <row r="13" spans="1:8" x14ac:dyDescent="0.35">
      <c r="A13" s="11"/>
      <c r="B13" s="12"/>
      <c r="C13" s="13"/>
    </row>
    <row r="14" spans="1:8" x14ac:dyDescent="0.35">
      <c r="A14" s="11"/>
      <c r="B14" s="12"/>
      <c r="C14" s="13"/>
    </row>
    <row r="15" spans="1:8" x14ac:dyDescent="0.35">
      <c r="A15" s="11"/>
      <c r="B15" s="12"/>
      <c r="C15" s="13"/>
    </row>
    <row r="16" spans="1:8" x14ac:dyDescent="0.35">
      <c r="A16" s="11"/>
      <c r="B16" s="12"/>
      <c r="C16" s="13"/>
    </row>
    <row r="17" spans="1:3" x14ac:dyDescent="0.35">
      <c r="A17" s="11"/>
      <c r="B17" s="12"/>
      <c r="C17" s="13"/>
    </row>
    <row r="18" spans="1:3" x14ac:dyDescent="0.35">
      <c r="A18" s="11"/>
      <c r="B18" s="12"/>
      <c r="C18" s="13"/>
    </row>
    <row r="19" spans="1:3" x14ac:dyDescent="0.35">
      <c r="A19" s="11"/>
      <c r="B19" s="12"/>
      <c r="C19" s="13"/>
    </row>
    <row r="20" spans="1:3" x14ac:dyDescent="0.35">
      <c r="A20" s="11"/>
      <c r="B20" s="12"/>
      <c r="C20" s="13"/>
    </row>
    <row r="21" spans="1:3" x14ac:dyDescent="0.35">
      <c r="A21" s="11"/>
      <c r="B21" s="12"/>
      <c r="C21" s="13"/>
    </row>
    <row r="22" spans="1:3" x14ac:dyDescent="0.35">
      <c r="A22" s="11"/>
      <c r="B22" s="12"/>
      <c r="C22" s="13"/>
    </row>
    <row r="23" spans="1:3" x14ac:dyDescent="0.35">
      <c r="A23" s="11"/>
      <c r="B23" s="12"/>
      <c r="C23" s="13"/>
    </row>
    <row r="24" spans="1:3" x14ac:dyDescent="0.35">
      <c r="A24" s="11"/>
      <c r="B24" s="12"/>
      <c r="C24" s="13"/>
    </row>
    <row r="25" spans="1:3" x14ac:dyDescent="0.35">
      <c r="A25" s="11"/>
      <c r="B25" s="12"/>
      <c r="C25" s="13"/>
    </row>
    <row r="26" spans="1:3" x14ac:dyDescent="0.35">
      <c r="A26" s="14"/>
      <c r="B26" s="15"/>
      <c r="C26"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DA479-EB1D-4F54-814F-824DE988BB85}">
  <dimension ref="A1:D4"/>
  <sheetViews>
    <sheetView workbookViewId="0">
      <selection activeCell="F6" sqref="F6"/>
    </sheetView>
  </sheetViews>
  <sheetFormatPr defaultRowHeight="14.5" x14ac:dyDescent="0.35"/>
  <cols>
    <col min="1" max="1" width="10.7265625" bestFit="1" customWidth="1"/>
    <col min="2" max="2" width="14.81640625" bestFit="1" customWidth="1"/>
    <col min="4" max="4" width="14.1796875" bestFit="1" customWidth="1"/>
  </cols>
  <sheetData>
    <row r="1" spans="1:4" x14ac:dyDescent="0.35">
      <c r="A1" s="6" t="s">
        <v>28</v>
      </c>
      <c r="B1" s="6" t="s">
        <v>29</v>
      </c>
      <c r="D1" s="6" t="s">
        <v>30</v>
      </c>
    </row>
    <row r="2" spans="1:4" x14ac:dyDescent="0.35">
      <c r="A2" s="5" t="s">
        <v>13</v>
      </c>
      <c r="B2" s="5">
        <f>COUNTIFS(Clean!$D$2:$D$13,A2,Clean!$H$2:$H$13,1)</f>
        <v>0</v>
      </c>
      <c r="D2" s="7">
        <f>COUNTIF(Clean!H2:H13,1)/COUNTA(Clean!A2:A13)</f>
        <v>0.41666666666666669</v>
      </c>
    </row>
    <row r="3" spans="1:4" x14ac:dyDescent="0.35">
      <c r="A3" s="5" t="s">
        <v>14</v>
      </c>
      <c r="B3" s="5">
        <f>COUNTIFS(Clean!$D$2:$D$13,A3,Clean!$H$2:$H$13,1)</f>
        <v>3</v>
      </c>
    </row>
    <row r="4" spans="1:4" x14ac:dyDescent="0.35">
      <c r="A4" s="5" t="s">
        <v>15</v>
      </c>
      <c r="B4" s="5">
        <f>COUNTIFS(Clean!$D$2:$D$13,A4,Clean!$H$2:$H$13,1)</f>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Raw</vt:lpstr>
      <vt:lpstr>Lookup</vt:lpstr>
      <vt:lpstr>Clean</vt:lpstr>
      <vt:lpstr>pivot_table</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 TECH</dc:creator>
  <cp:lastModifiedBy>LP TECH</cp:lastModifiedBy>
  <dcterms:created xsi:type="dcterms:W3CDTF">2026-09-26T05:21:15Z</dcterms:created>
  <dcterms:modified xsi:type="dcterms:W3CDTF">2026-10-03T06:36:44Z</dcterms:modified>
</cp:coreProperties>
</file>